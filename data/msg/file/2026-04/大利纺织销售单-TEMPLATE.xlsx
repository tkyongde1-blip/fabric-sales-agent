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大利纺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<sst xmlns="http://schemas.openxmlformats.org/spreadsheetml/2006/main" count="37" uniqueCount="36">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</sst>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">
        <v>0</v>
      </c>
      <c r="U1" s="2">
        <f>I17+M17</f>
        <v>0</v>
      </c>
    </row>
    <row r="2" s="1" customFormat="1" ht="36.95" customHeight="1" spans="1: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">
        <v>2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">
        <v>3</v>
      </c>
      <c r="T3" s="5" t="s">
        <v>4</v>
      </c>
      <c r="U3" s="5"/>
      <c r="V3" s="1"/>
      <c r="W3" s="1"/>
      <c r="X3" s="1"/>
    </row>
    <row r="4" s="1" customFormat="1" ht="21.95" customHeight="1" spans="1:35">
      <c r="A4" s="5" t="s">
        <v>5</v>
      </c>
      <c r="B4" s="5"/>
      <c r="C4" s="5"/>
      <c r="D4" s="5"/>
      <c r="E4" s="5"/>
      <c r="I4" s="6"/>
      <c r="J4" s="6"/>
      <c r="K4" s="6"/>
      <c r="L4" s="6"/>
      <c r="S4" s="7" t="s">
        <v>6</v>
      </c>
      <c r="T4" s="8">
        <v>46118.647337963</v>
      </c>
      <c r="U4" s="8"/>
    </row>
    <row r="5" s="1" customFormat="1" ht="21.95" customHeight="1" spans="1:35">
      <c r="A5" s="5" t="s">
        <v>7</v>
      </c>
      <c r="B5" s="5"/>
      <c r="C5" s="5"/>
      <c r="D5" s="5"/>
      <c r="E5" s="5"/>
      <c r="F5" s="5" t="s">
        <v>8</v>
      </c>
      <c r="I5" s="6"/>
      <c r="J5" s="6"/>
      <c r="K5" s="9" t="s">
        <v>9</v>
      </c>
      <c r="L5" s="6"/>
      <c r="S5" s="7"/>
      <c r="T5" s="8"/>
      <c r="U5" s="8"/>
    </row>
    <row r="6" s="1" customFormat="1" customHeight="1" spans="1:35">
      <c r="A6" s="10" t="s">
        <v>10</v>
      </c>
      <c r="B6" s="11"/>
      <c r="C6" s="12"/>
      <c r="D6" s="10" t="s">
        <v>11</v>
      </c>
      <c r="E6" s="12"/>
      <c r="F6" s="13" t="s">
        <v>12</v>
      </c>
      <c r="G6" s="13" t="s">
        <v>13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">
        <v>14</v>
      </c>
      <c r="S6" s="13" t="s">
        <v>15</v>
      </c>
      <c r="T6" s="13" t="s">
        <v>16</v>
      </c>
      <c r="U6" s="13" t="s">
        <v>17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/>
      <c r="B7" s="11"/>
      <c r="C7" s="12"/>
      <c r="D7" s="10"/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>
        <f t="shared" ref="R7:R16" si="0">COUNTA(H7:Q7)</f>
        <v>0</v>
      </c>
      <c r="S7" s="13">
        <f t="shared" ref="S7:S16" si="1">SUM(H7:Q7)</f>
        <v>0</v>
      </c>
      <c r="T7" s="13"/>
      <c r="U7" s="13">
        <f t="shared" ref="U7:U16" si="2">S7*T7</f>
        <v>0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">
        <v>18</v>
      </c>
      <c r="B17" s="16">
        <f>SUM(R7:R16)</f>
        <v>0</v>
      </c>
      <c r="C17" s="17" t="s">
        <v>19</v>
      </c>
      <c r="D17" s="16">
        <f>SUM(S7:S16)</f>
        <v>0</v>
      </c>
      <c r="E17" s="17" t="s">
        <v>20</v>
      </c>
      <c r="F17" s="16"/>
      <c r="G17" s="16" t="s">
        <v>21</v>
      </c>
      <c r="H17" s="16"/>
      <c r="I17" s="18">
        <f>SUM(U7:U16)</f>
        <v>0</v>
      </c>
      <c r="J17" s="18"/>
      <c r="K17" s="18"/>
      <c r="L17" s="17" t="s">
        <v>22</v>
      </c>
      <c r="M17" s="18">
        <v>0</v>
      </c>
      <c r="N17" s="18"/>
      <c r="O17" s="16"/>
      <c r="P17" s="16"/>
      <c r="Q17" s="19" t="s">
        <v>0</v>
      </c>
      <c r="R17" s="19"/>
      <c r="S17" s="18">
        <f>ROUND(U1,)</f>
        <v>0</v>
      </c>
      <c r="T17" s="18"/>
      <c r="U17" s="20"/>
      <c r="X17" s="21"/>
    </row>
    <row r="18" s="3" customFormat="1" customHeight="1" spans="1:24">
      <c r="A18" s="22" t="s">
        <v>23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">
        <v>24</v>
      </c>
      <c r="M18" s="25"/>
      <c r="N18" s="25"/>
      <c r="O18" s="11"/>
      <c r="P18" s="11"/>
      <c r="Q18" s="26" t="s">
        <v>25</v>
      </c>
      <c r="R18" s="26"/>
      <c r="S18" s="25">
        <f>S17-M18</f>
        <v>0</v>
      </c>
      <c r="T18" s="25"/>
      <c r="U18" s="27"/>
      <c r="V18" s="1"/>
      <c r="W18" s="1"/>
      <c r="X18" s="21"/>
    </row>
    <row r="19" s="1" customFormat="1" customHeight="1" spans="1:24">
      <c r="A19" s="28" t="s">
        <v>26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">
        <v>27</v>
      </c>
      <c r="M19" s="30"/>
      <c r="N19" s="31">
        <v>0</v>
      </c>
      <c r="O19" s="31"/>
      <c r="P19" s="31"/>
      <c r="Q19" s="32" t="s">
        <v>28</v>
      </c>
      <c r="R19" s="32"/>
      <c r="S19" s="31">
        <f>S18+N19</f>
        <v>0</v>
      </c>
      <c r="T19" s="31"/>
      <c r="U19" s="33"/>
      <c r="X19" s="21"/>
    </row>
    <row r="20" s="1" customFormat="1" ht="45" customHeight="1" spans="1:24">
      <c r="A20" s="34" t="s">
        <v>29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">
        <v>30</v>
      </c>
      <c r="B21" s="1">
        <v>1</v>
      </c>
      <c r="C21" s="7" t="s">
        <v>31</v>
      </c>
      <c r="D21" s="7"/>
      <c r="E21" s="1">
        <v>1</v>
      </c>
      <c r="F21" s="7" t="s">
        <v>32</v>
      </c>
      <c r="G21" s="5" t="s">
        <v>33</v>
      </c>
      <c r="H21" s="5"/>
      <c r="J21" s="7" t="s">
        <v>34</v>
      </c>
      <c r="K21" s="7"/>
      <c r="L21" s="5"/>
      <c r="M21" s="5"/>
      <c r="O21" s="5" t="s">
        <v>35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</cp:lastModifiedBy>
  <dcterms:created xsi:type="dcterms:W3CDTF">2026-03-31T09:12:00Z</dcterms:created>
  <dcterms:modified xsi:type="dcterms:W3CDTF">2026-04-13T06:49:57Z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