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大利纺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<sst xmlns="http://schemas.openxmlformats.org/spreadsheetml/2006/main" count="37" uniqueCount="36">
  <si>
    <t>本单应付：</t>
  </si>
  <si>
    <t>大利纺织销售单</t>
  </si>
  <si>
    <t>地址:广东省揭阳市普宁市流沙镇池尾</t>
  </si>
  <si>
    <t>单号：</t>
  </si>
  <si>
    <t>XFS2604060121</t>
  </si>
  <si>
    <t>手机：17817293850</t>
  </si>
  <si>
    <t>日期：</t>
  </si>
  <si>
    <t>名称：</t>
  </si>
  <si>
    <t>手机：</t>
  </si>
  <si>
    <t>NO.1</t>
  </si>
  <si>
    <t>品名</t>
  </si>
  <si>
    <t>规格</t>
  </si>
  <si>
    <t>颜色</t>
  </si>
  <si>
    <t>单位</t>
  </si>
  <si>
    <t>匹数</t>
  </si>
  <si>
    <t>数量</t>
  </si>
  <si>
    <t>单价</t>
  </si>
  <si>
    <t>金额</t>
  </si>
  <si>
    <t>总 数 量：</t>
  </si>
  <si>
    <t>匹</t>
  </si>
  <si>
    <t>公斤</t>
  </si>
  <si>
    <t>总金额：</t>
  </si>
  <si>
    <t>费用：</t>
  </si>
  <si>
    <t>应付大写：</t>
  </si>
  <si>
    <t>已付：</t>
  </si>
  <si>
    <t>本单未付：</t>
  </si>
  <si>
    <t>备    注：</t>
  </si>
  <si>
    <t>前欠金额：</t>
  </si>
  <si>
    <t>累计欠款：</t>
  </si>
  <si>
    <t>尊敬的客户：货到请及时验收，如有任何质量问题 ，请于三天内通知本布行协商解决，逾期、裁剪或在产品上附加工艺，本布行概不负责；在收货人未付清所有货款前，上述货物的所有权属于供货人所有，供货人有权随时行使所有权权利；经收货人签收，买卖合同即成立。如有纠纷由供货公司所在地人民法院管基；本送货为欠款凭证！</t>
  </si>
  <si>
    <t>当    前：</t>
  </si>
  <si>
    <t>总    页：</t>
  </si>
  <si>
    <t>制单人：</t>
  </si>
  <si>
    <t>档口</t>
  </si>
  <si>
    <t>经手人：</t>
  </si>
  <si>
    <t>收货人签名：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</si>
</sst>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yyyy\-m\-dd"/>
    <numFmt numFmtId="181" formatCode="0.00_ "/>
    <numFmt numFmtId="182" formatCode="[DBNum2][$RMB]General;[Red][DBNum2][$RMB]General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28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4" applyNumberFormat="0" applyAlignment="0" applyProtection="0">
      <alignment vertical="center"/>
    </xf>
    <xf numFmtId="0" fontId="13" fillId="4" borderId="15" applyNumberFormat="0" applyAlignment="0" applyProtection="0">
      <alignment vertical="center"/>
    </xf>
    <xf numFmtId="0" fontId="14" fillId="4" borderId="14" applyNumberFormat="0" applyAlignment="0" applyProtection="0">
      <alignment vertical="center"/>
    </xf>
    <xf numFmtId="0" fontId="15" fillId="5" borderId="16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180" fontId="0" fillId="0" borderId="0" xfId="0" applyNumberForma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0" fillId="0" borderId="5" xfId="0" applyBorder="1" applyAlignment="1">
      <alignment horizontal="right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181" fontId="0" fillId="0" borderId="6" xfId="0" applyNumberFormat="1" applyBorder="1" applyAlignment="1">
      <alignment horizontal="left" vertical="center"/>
    </xf>
    <xf numFmtId="0" fontId="0" fillId="0" borderId="6" xfId="0" applyBorder="1" applyAlignment="1">
      <alignment horizontal="right" vertical="center"/>
    </xf>
    <xf numFmtId="181" fontId="0" fillId="0" borderId="7" xfId="0" applyNumberFormat="1" applyBorder="1" applyAlignment="1">
      <alignment horizontal="left" vertical="center"/>
    </xf>
    <xf numFmtId="181" fontId="0" fillId="0" borderId="0" xfId="0" applyNumberForma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182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81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right" vertical="center"/>
    </xf>
    <xf numFmtId="181" fontId="0" fillId="0" borderId="3" xfId="0" applyNumberFormat="1" applyBorder="1" applyAlignment="1">
      <alignment horizontal="left" vertical="center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181" fontId="0" fillId="0" borderId="9" xfId="0" applyNumberFormat="1" applyBorder="1" applyAlignment="1">
      <alignment horizontal="left" vertical="center"/>
    </xf>
    <xf numFmtId="0" fontId="0" fillId="0" borderId="9" xfId="0" applyBorder="1" applyAlignment="1">
      <alignment horizontal="right" vertical="center"/>
    </xf>
    <xf numFmtId="181" fontId="0" fillId="0" borderId="10" xfId="0" applyNumberFormat="1" applyBorder="1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5"/>
  <sheetViews>
    <sheetView tabSelected="1" workbookViewId="0">
      <selection activeCell="H11" sqref="H11"/>
    </sheetView>
  </sheetViews>
  <sheetFormatPr defaultColWidth="9" defaultRowHeight="24" customHeight="1"/>
  <cols>
    <col min="1" max="1" width="11" style="1" customWidth="1"/>
    <col min="2" max="2" width="4.875" style="1" customWidth="1"/>
    <col min="3" max="3" width="3.75833333333333" style="1" customWidth="1"/>
    <col min="4" max="4" width="8.25833333333333" style="1" customWidth="1"/>
    <col min="5" max="5" width="5" style="1" customWidth="1"/>
    <col min="6" max="6" width="13.625" style="1" customWidth="1"/>
    <col min="7" max="7" width="6.375" style="1" customWidth="1"/>
    <col min="8" max="17" width="5.75833333333333" style="1" customWidth="1"/>
    <col min="18" max="18" width="5.25833333333333" style="1" customWidth="1"/>
    <col min="19" max="19" width="9" style="1"/>
    <col min="20" max="20" width="6.625" style="1" customWidth="1"/>
    <col min="21" max="21" width="11.2583333333333" style="1" customWidth="1"/>
    <col min="22" max="23" width="9" style="1"/>
    <col min="24" max="34" width="6.375" style="1" customWidth="1"/>
    <col min="35" max="16384" width="9" style="1"/>
  </cols>
  <sheetData>
    <row r="1" s="1" customFormat="1" customHeight="1" spans="1:35">
      <c r="T1" s="2" t="str">
        <v>本单应付：</v>
      </c>
      <c r="U1" s="2">
        <f>I17+M17</f>
        <v>3462.09</v>
      </c>
    </row>
    <row r="2" s="1" customFormat="1" ht="36.95" customHeight="1" spans="1:35">
      <c r="A2" s="4" t="str">
        <v>大利纺织销售单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="2" customFormat="1" ht="17.1" customHeight="1" spans="1:35">
      <c r="A3" s="5" t="str">
        <v>地址:广东省揭阳市普宁市流沙镇池尾</v>
      </c>
      <c r="B3" s="5"/>
      <c r="C3" s="5"/>
      <c r="D3" s="5"/>
      <c r="E3" s="5"/>
      <c r="F3" s="1"/>
      <c r="G3" s="1"/>
      <c r="H3" s="1"/>
      <c r="I3" s="6"/>
      <c r="J3" s="6"/>
      <c r="K3" s="6"/>
      <c r="L3" s="6"/>
      <c r="M3" s="1"/>
      <c r="N3" s="1"/>
      <c r="O3" s="1"/>
      <c r="P3" s="1"/>
      <c r="Q3" s="1"/>
      <c r="R3" s="1"/>
      <c r="S3" s="7" t="str">
        <v>单号：</v>
      </c>
      <c r="T3" s="5" t="str">
        <v>XFS20260708463</v>
      </c>
      <c r="U3" s="5"/>
      <c r="V3" s="1"/>
      <c r="W3" s="1"/>
      <c r="X3" s="1"/>
    </row>
    <row r="4" s="1" customFormat="1" ht="21.95" customHeight="1" spans="1:35">
      <c r="A4" s="5" t="str">
        <v>手机：17817293850</v>
      </c>
      <c r="B4" s="5"/>
      <c r="C4" s="5"/>
      <c r="D4" s="5"/>
      <c r="E4" s="5"/>
      <c r="I4" s="6"/>
      <c r="J4" s="6"/>
      <c r="K4" s="6"/>
      <c r="L4" s="6"/>
      <c r="S4" s="7" t="str">
        <v>日期：</v>
      </c>
      <c r="T4" s="8">
        <v>46211.72352975694</v>
      </c>
      <c r="U4" s="8"/>
    </row>
    <row r="5" s="1" customFormat="1" ht="21.95" customHeight="1" spans="1:35">
      <c r="A5" s="5" t="str">
        <v>名称：晋晟纺织</v>
      </c>
      <c r="B5" s="5"/>
      <c r="C5" s="5"/>
      <c r="D5" s="5"/>
      <c r="E5" s="5"/>
      <c r="F5" s="5" t="str">
        <v>手机：</v>
      </c>
      <c r="I5" s="6"/>
      <c r="J5" s="6"/>
      <c r="K5" s="9" t="str">
        <v>NO.1</v>
      </c>
      <c r="L5" s="6"/>
      <c r="S5" s="7"/>
      <c r="T5" s="8"/>
      <c r="U5" s="8"/>
    </row>
    <row r="6" s="1" customFormat="1" customHeight="1" spans="1:35">
      <c r="A6" s="10" t="str">
        <v>品名</v>
      </c>
      <c r="B6" s="11"/>
      <c r="C6" s="12"/>
      <c r="D6" s="10" t="str">
        <v>规格</v>
      </c>
      <c r="E6" s="12"/>
      <c r="F6" s="13" t="str">
        <v>颜色</v>
      </c>
      <c r="G6" s="13" t="str">
        <v>单位</v>
      </c>
      <c r="H6" s="13">
        <v>1</v>
      </c>
      <c r="I6" s="13">
        <v>2</v>
      </c>
      <c r="J6" s="13">
        <v>3</v>
      </c>
      <c r="K6" s="13">
        <v>4</v>
      </c>
      <c r="L6" s="13">
        <v>5</v>
      </c>
      <c r="M6" s="13">
        <v>6</v>
      </c>
      <c r="N6" s="13">
        <v>7</v>
      </c>
      <c r="O6" s="13">
        <v>8</v>
      </c>
      <c r="P6" s="13">
        <v>9</v>
      </c>
      <c r="Q6" s="13">
        <v>10</v>
      </c>
      <c r="R6" s="13" t="str">
        <v>匹数</v>
      </c>
      <c r="S6" s="13" t="str">
        <v>数量</v>
      </c>
      <c r="T6" s="13" t="str">
        <v>单价</v>
      </c>
      <c r="U6" s="13" t="str">
        <v>金额</v>
      </c>
      <c r="X6" s="1">
        <v>1</v>
      </c>
      <c r="Y6" s="1">
        <v>2</v>
      </c>
      <c r="Z6" s="1">
        <v>3</v>
      </c>
      <c r="AA6" s="1">
        <v>4</v>
      </c>
      <c r="AB6" s="1">
        <v>5</v>
      </c>
      <c r="AC6" s="1">
        <v>6</v>
      </c>
      <c r="AD6" s="1">
        <v>7</v>
      </c>
      <c r="AE6" s="1">
        <v>8</v>
      </c>
      <c r="AF6" s="1">
        <v>9</v>
      </c>
      <c r="AG6" s="1">
        <v>10</v>
      </c>
    </row>
    <row r="7" s="1" customFormat="1" customHeight="1" spans="1:35">
      <c r="A7" s="10" t="str">
        <v>牛奶丝双磨</v>
      </c>
      <c r="B7" s="11"/>
      <c r="C7" s="12"/>
      <c r="D7" s="10" t="str">
        <v>170CM230G</v>
      </c>
      <c r="E7" s="12"/>
      <c r="F7" s="13" t="str">
        <v>本白</v>
      </c>
      <c r="G7" s="13" t="str">
        <v>公斤</v>
      </c>
      <c r="H7" s="13">
        <v>31.6</v>
      </c>
      <c r="I7" s="13">
        <v>31</v>
      </c>
      <c r="J7" s="13">
        <v>30.3</v>
      </c>
      <c r="K7" s="13">
        <v>30.8</v>
      </c>
      <c r="L7" s="13">
        <v>31.3</v>
      </c>
      <c r="M7" s="13">
        <v>31.6</v>
      </c>
      <c r="N7" s="13">
        <v>31.5</v>
      </c>
      <c r="O7" s="13">
        <v>31.4</v>
      </c>
      <c r="P7" s="13">
        <v>31.4</v>
      </c>
      <c r="Q7" s="13">
        <v>31</v>
      </c>
      <c r="R7" s="13">
        <f t="shared" ref="R7:R16" si="0">COUNTA(H7:Q7)</f>
        <v>10</v>
      </c>
      <c r="S7" s="13">
        <f t="shared" ref="S7:S16" si="1">SUM(H7:Q7)</f>
        <v>311.9</v>
      </c>
      <c r="T7" s="13">
        <v>11.1</v>
      </c>
      <c r="U7" s="13">
        <f t="shared" ref="U7:U16" si="2">S7*T7</f>
        <v>3462.09</v>
      </c>
      <c r="AH7" s="1">
        <f>COUNTA(X7:AG7)</f>
        <v>0</v>
      </c>
      <c r="AI7" s="1">
        <f>SUM(X7:AG7)</f>
        <v>0</v>
      </c>
    </row>
    <row r="8" s="1" customFormat="1" customHeight="1" spans="1:35">
      <c r="A8" s="10"/>
      <c r="B8" s="11"/>
      <c r="C8" s="12"/>
      <c r="D8" s="10"/>
      <c r="E8" s="12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>
        <f t="shared" si="0"/>
        <v>0</v>
      </c>
      <c r="S8" s="13">
        <f t="shared" si="1"/>
        <v>0</v>
      </c>
      <c r="T8" s="13"/>
      <c r="U8" s="13">
        <f t="shared" si="2"/>
        <v>0</v>
      </c>
    </row>
    <row r="9" s="1" customFormat="1" customHeight="1" spans="1:35">
      <c r="A9" s="10"/>
      <c r="B9" s="11"/>
      <c r="C9" s="12"/>
      <c r="D9" s="10"/>
      <c r="E9" s="12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>
        <f t="shared" si="0"/>
        <v>0</v>
      </c>
      <c r="S9" s="13">
        <f t="shared" si="1"/>
        <v>0</v>
      </c>
      <c r="T9" s="13"/>
      <c r="U9" s="13">
        <f t="shared" si="2"/>
        <v>0</v>
      </c>
    </row>
    <row r="10" s="1" customFormat="1" customHeight="1" spans="1:35">
      <c r="A10" s="10"/>
      <c r="B10" s="11"/>
      <c r="C10" s="12"/>
      <c r="D10" s="10"/>
      <c r="E10" s="12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>
        <f t="shared" si="0"/>
        <v>0</v>
      </c>
      <c r="S10" s="13">
        <f t="shared" si="1"/>
        <v>0</v>
      </c>
      <c r="T10" s="13"/>
      <c r="U10" s="13">
        <f t="shared" si="2"/>
        <v>0</v>
      </c>
    </row>
    <row r="11" s="1" customFormat="1" customHeight="1" spans="1:35">
      <c r="A11" s="10"/>
      <c r="B11" s="11"/>
      <c r="C11" s="12"/>
      <c r="D11" s="10"/>
      <c r="E11" s="12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>
        <f t="shared" si="0"/>
        <v>0</v>
      </c>
      <c r="S11" s="13">
        <f t="shared" si="1"/>
        <v>0</v>
      </c>
      <c r="T11" s="13"/>
      <c r="U11" s="13">
        <f t="shared" si="2"/>
        <v>0</v>
      </c>
    </row>
    <row r="12" s="1" customFormat="1" customHeight="1" spans="1:35">
      <c r="A12" s="10"/>
      <c r="B12" s="11"/>
      <c r="C12" s="12"/>
      <c r="D12" s="10"/>
      <c r="E12" s="12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>
        <f t="shared" si="0"/>
        <v>0</v>
      </c>
      <c r="S12" s="13">
        <f t="shared" si="1"/>
        <v>0</v>
      </c>
      <c r="T12" s="13"/>
      <c r="U12" s="13">
        <f t="shared" si="2"/>
        <v>0</v>
      </c>
      <c r="X12" s="14"/>
    </row>
    <row r="13" s="1" customFormat="1" customHeight="1" spans="1:35">
      <c r="A13" s="10"/>
      <c r="B13" s="11"/>
      <c r="C13" s="12"/>
      <c r="D13" s="10"/>
      <c r="E13" s="12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>
        <f t="shared" si="0"/>
        <v>0</v>
      </c>
      <c r="S13" s="13">
        <f t="shared" si="1"/>
        <v>0</v>
      </c>
      <c r="T13" s="13"/>
      <c r="U13" s="13">
        <f t="shared" si="2"/>
        <v>0</v>
      </c>
    </row>
    <row r="14" s="1" customFormat="1" customHeight="1" spans="1:35">
      <c r="A14" s="10"/>
      <c r="B14" s="11"/>
      <c r="C14" s="12"/>
      <c r="D14" s="10"/>
      <c r="E14" s="12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>
        <f t="shared" si="0"/>
        <v>0</v>
      </c>
      <c r="S14" s="13">
        <f t="shared" si="1"/>
        <v>0</v>
      </c>
      <c r="T14" s="13"/>
      <c r="U14" s="13">
        <f t="shared" si="2"/>
        <v>0</v>
      </c>
    </row>
    <row r="15" s="1" customFormat="1" customHeight="1" spans="1:35">
      <c r="A15" s="10"/>
      <c r="B15" s="11"/>
      <c r="C15" s="12"/>
      <c r="D15" s="10"/>
      <c r="E15" s="12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>
        <f t="shared" si="0"/>
        <v>0</v>
      </c>
      <c r="S15" s="13">
        <f t="shared" si="1"/>
        <v>0</v>
      </c>
      <c r="T15" s="13"/>
      <c r="U15" s="13">
        <f t="shared" si="2"/>
        <v>0</v>
      </c>
    </row>
    <row r="16" s="1" customFormat="1" customHeight="1" spans="1:35">
      <c r="A16" s="10"/>
      <c r="B16" s="11"/>
      <c r="C16" s="12"/>
      <c r="D16" s="10"/>
      <c r="E16" s="12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>
        <f t="shared" si="0"/>
        <v>0</v>
      </c>
      <c r="S16" s="13">
        <f t="shared" si="1"/>
        <v>0</v>
      </c>
      <c r="T16" s="13"/>
      <c r="U16" s="13">
        <f t="shared" si="2"/>
        <v>0</v>
      </c>
    </row>
    <row r="17" s="1" customFormat="1" customHeight="1" spans="1:24">
      <c r="A17" s="15" t="str">
        <v>总 数 量：</v>
      </c>
      <c r="B17" s="16">
        <f>SUM(R7:R16)</f>
        <v>10</v>
      </c>
      <c r="C17" s="17" t="str">
        <v>匹</v>
      </c>
      <c r="D17" s="16">
        <f>SUM(S7:S16)</f>
        <v>311.9</v>
      </c>
      <c r="E17" s="17" t="str">
        <v>公斤</v>
      </c>
      <c r="F17" s="16"/>
      <c r="G17" s="16" t="str">
        <v>总金额：</v>
      </c>
      <c r="H17" s="16"/>
      <c r="I17" s="18">
        <f>SUM(U7:U16)</f>
        <v>3462.09</v>
      </c>
      <c r="J17" s="18"/>
      <c r="K17" s="18"/>
      <c r="L17" s="17" t="str">
        <v>费用：</v>
      </c>
      <c r="M17" s="18">
        <v>0</v>
      </c>
      <c r="N17" s="18"/>
      <c r="O17" s="16"/>
      <c r="P17" s="16"/>
      <c r="Q17" s="19" t="str">
        <v>本单应付：</v>
      </c>
      <c r="R17" s="19"/>
      <c r="S17" s="18">
        <f>ROUND(U1,)</f>
        <v>3462.09</v>
      </c>
      <c r="T17" s="18"/>
      <c r="U17" s="20"/>
      <c r="X17" s="21"/>
    </row>
    <row r="18" s="3" customFormat="1" customHeight="1" spans="1:24">
      <c r="A18" s="22" t="str">
        <v>应付大写：</v>
      </c>
      <c r="B18" s="23">
        <f>S17</f>
        <v>0</v>
      </c>
      <c r="C18" s="23"/>
      <c r="D18" s="23"/>
      <c r="E18" s="23"/>
      <c r="F18" s="23"/>
      <c r="G18" s="23"/>
      <c r="H18" s="23"/>
      <c r="I18" s="23"/>
      <c r="J18" s="23"/>
      <c r="K18" s="23"/>
      <c r="L18" s="24" t="str">
        <v>已付：</v>
      </c>
      <c r="M18" s="25"/>
      <c r="N18" s="25"/>
      <c r="O18" s="11"/>
      <c r="P18" s="11"/>
      <c r="Q18" s="26" t="str">
        <v>本单未付：</v>
      </c>
      <c r="R18" s="26"/>
      <c r="S18" s="25">
        <f>S17-M18</f>
        <v>3462.09</v>
      </c>
      <c r="T18" s="25"/>
      <c r="U18" s="27"/>
      <c r="V18" s="1"/>
      <c r="W18" s="1"/>
      <c r="X18" s="21"/>
    </row>
    <row r="19" s="1" customFormat="1" customHeight="1" spans="1:24">
      <c r="A19" s="28" t="str">
        <v>备    注：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30" t="str">
        <v>前欠金额：</v>
      </c>
      <c r="M19" s="30"/>
      <c r="N19" s="31">
        <v>0</v>
      </c>
      <c r="O19" s="31"/>
      <c r="P19" s="31"/>
      <c r="Q19" s="32" t="str">
        <v>累计欠款：</v>
      </c>
      <c r="R19" s="32"/>
      <c r="S19" s="31">
        <f>S18+N19</f>
        <v>3462.09</v>
      </c>
      <c r="T19" s="31"/>
      <c r="U19" s="33"/>
      <c r="X19" s="21"/>
    </row>
    <row r="20" s="1" customFormat="1" ht="45" customHeight="1" spans="1:24">
      <c r="A20" s="34" t="str">
        <v>尊敬的客户：货到请及时验收，如有任何质量问题 ，请于三天内通知本布行协商解决，逾期、裁剪或在产品上附加工艺，本布行概不负责；在收货人未付清所有货款前，上述货物的所有权属于供货人所有，供货人有权随时行使所有权权利；经收货人签收，买卖合同即成立。如有纠纷由供货公司所在地人民法院管基；本送货为欠款凭证！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</row>
    <row r="21" s="1" customFormat="1" customHeight="1" spans="1:24">
      <c r="A21" s="1" t="str">
        <v>当    前：</v>
      </c>
      <c r="B21" s="1">
        <v>1</v>
      </c>
      <c r="C21" s="7" t="str">
        <v>总    页：</v>
      </c>
      <c r="D21" s="7"/>
      <c r="E21" s="1">
        <v>1</v>
      </c>
      <c r="F21" s="7" t="str">
        <v>制单人：</v>
      </c>
      <c r="G21" s="5" t="str">
        <v>档口</v>
      </c>
      <c r="H21" s="5"/>
      <c r="J21" s="7" t="str">
        <v>经手人：</v>
      </c>
      <c r="K21" s="7"/>
      <c r="L21" s="5"/>
      <c r="M21" s="5"/>
      <c r="O21" s="5" t="str">
        <v>收货人签名：</v>
      </c>
      <c r="P21" s="5"/>
    </row>
    <row r="24" s="1" customFormat="1" customHeight="1" spans="1:24">
      <c r="S24"/>
    </row>
    <row r="25" s="1" customFormat="1" customHeight="1" spans="1:24">
      <c r="S25"/>
    </row>
  </sheetData>
  <mergeCells count="49">
    <mergeCell ref="A2:U2"/>
    <mergeCell ref="T3:U3"/>
    <mergeCell ref="A4:E4"/>
    <mergeCell ref="T4:U4"/>
    <mergeCell ref="A5:E5"/>
    <mergeCell ref="T5:U5"/>
    <mergeCell ref="A6:C6"/>
    <mergeCell ref="D6:E6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G17:H17"/>
    <mergeCell ref="I17:K17"/>
    <mergeCell ref="M17:N17"/>
    <mergeCell ref="Q17:R17"/>
    <mergeCell ref="S17:U17"/>
    <mergeCell ref="B18:K18"/>
    <mergeCell ref="M18:N18"/>
    <mergeCell ref="Q18:R18"/>
    <mergeCell ref="S18:U18"/>
    <mergeCell ref="B19:K19"/>
    <mergeCell ref="L19:M19"/>
    <mergeCell ref="N19:P19"/>
    <mergeCell ref="Q19:R19"/>
    <mergeCell ref="S19:U19"/>
    <mergeCell ref="A20:U20"/>
    <mergeCell ref="C21:D21"/>
    <mergeCell ref="G21:H21"/>
    <mergeCell ref="J21:K21"/>
    <mergeCell ref="L21:M21"/>
    <mergeCell ref="O21:P21"/>
    <mergeCell ref="Q21:S21"/>
  </mergeCells>
  <pageMargins left="0.393055555555556" right="0.0388888888888889" top="0.472222222222222" bottom="0.156944444444444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大利纺织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2026-03-31T09:12:00Z</dcterms:created>
  <dcterms:modified xsi:type="dcterms:W3CDTF">2026-04-13T06:49:57Z</dcterms:modified>
  <cp:lastModifiedBy>a</cp:lastModifiedBy>
  <dc:creator>Administrator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047860A3EC5846CFB286618D822208A8_13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