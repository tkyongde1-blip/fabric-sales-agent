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<sst xmlns="http://schemas.openxmlformats.org/spreadsheetml/2006/main" count="37" uniqueCount="36">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</sst>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2060.16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XFS20260709070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46212.628486608795</v>
      </c>
      <c r="U4" s="8"/>
    </row>
    <row r="5" s="1" customFormat="1" ht="21.95" customHeight="1" spans="1:35">
      <c r="A5" s="5" t="str">
        <v>名称：贝思为</v>
      </c>
      <c r="B5" s="5"/>
      <c r="C5" s="5"/>
      <c r="D5" s="5"/>
      <c r="E5" s="5"/>
      <c r="F5" s="5" t="str">
        <v>手机：</v>
      </c>
      <c r="I5" s="6"/>
      <c r="J5" s="6"/>
      <c r="K5" s="9" t="str">
        <v>NO.2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仿棉索罗娜</v>
      </c>
      <c r="B7" s="11"/>
      <c r="C7" s="12"/>
      <c r="D7" s="10" t="str">
        <v>5号#</v>
      </c>
      <c r="E7" s="12"/>
      <c r="F7" s="13" t="str">
        <v/>
      </c>
      <c r="G7" s="13" t="str">
        <v>公斤</v>
      </c>
      <c r="H7" s="13">
        <v>27.9</v>
      </c>
      <c r="I7" s="13">
        <v>27.4</v>
      </c>
      <c r="J7" s="13">
        <v>28.2</v>
      </c>
      <c r="K7" s="13">
        <v>27.9</v>
      </c>
      <c r="L7" s="13">
        <v>27.8</v>
      </c>
      <c r="M7" s="13"/>
      <c r="N7" s="13"/>
      <c r="O7" s="13"/>
      <c r="P7" s="13"/>
      <c r="Q7" s="13"/>
      <c r="R7" s="13">
        <f t="shared" ref="R7:R16" si="0">COUNTA(H7:Q7)</f>
        <v>5</v>
      </c>
      <c r="S7" s="13">
        <f t="shared" ref="S7:S16" si="1">SUM(H7:Q7)</f>
        <v>139.2</v>
      </c>
      <c r="T7" s="13">
        <v>14.8</v>
      </c>
      <c r="U7" s="13">
        <f t="shared" ref="U7:U16" si="2">S7*T7</f>
        <v>2060.16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5</v>
      </c>
      <c r="C17" s="17" t="str">
        <v>匹</v>
      </c>
      <c r="D17" s="16">
        <f>SUM(S7:S16)</f>
        <v>139.2</v>
      </c>
      <c r="E17" s="17" t="str">
        <v>公斤</v>
      </c>
      <c r="F17" s="16"/>
      <c r="G17" s="16" t="str">
        <v>总金额：</v>
      </c>
      <c r="H17" s="16"/>
      <c r="I17" s="18">
        <f>SUM(U7:U16)</f>
        <v>2060.16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2060.16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2060.16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2060.16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